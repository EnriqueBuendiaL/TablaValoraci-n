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o\Documents\RevistaInvestigacionBIOMECANICA\material curso BIOMECANICA en linea\"/>
    </mc:Choice>
  </mc:AlternateContent>
  <xr:revisionPtr revIDLastSave="0" documentId="13_ncr:1_{5889A906-C41D-47DC-8788-F88545F24816}" xr6:coauthVersionLast="45" xr6:coauthVersionMax="45" xr10:uidLastSave="{00000000-0000-0000-0000-000000000000}"/>
  <bookViews>
    <workbookView xWindow="3045" yWindow="3060" windowWidth="25455" windowHeight="12240" xr2:uid="{92B79FD0-1D0A-4763-BAB4-561E181D0161}"/>
  </bookViews>
  <sheets>
    <sheet name="Hoja1" sheetId="1" r:id="rId1"/>
    <sheet name="Hoja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7" i="1" l="1"/>
  <c r="L5" i="1"/>
  <c r="L8" i="1" s="1"/>
  <c r="L9" i="1" l="1"/>
  <c r="L10" i="1" s="1"/>
  <c r="L12" i="1"/>
  <c r="L11" i="1"/>
  <c r="M10" i="1" s="1"/>
</calcChain>
</file>

<file path=xl/sharedStrings.xml><?xml version="1.0" encoding="utf-8"?>
<sst xmlns="http://schemas.openxmlformats.org/spreadsheetml/2006/main" count="24" uniqueCount="24">
  <si>
    <t>Poner en la columna A los datos de mediciones</t>
  </si>
  <si>
    <t>Oprimir el botón de creación de la tabla de Valoración</t>
  </si>
  <si>
    <t xml:space="preserve"> ds</t>
  </si>
  <si>
    <t xml:space="preserve"> Promedio</t>
  </si>
  <si>
    <t xml:space="preserve"> o más</t>
  </si>
  <si>
    <t xml:space="preserve"> o menos</t>
  </si>
  <si>
    <t>Intervalos</t>
  </si>
  <si>
    <t>Frecuencia</t>
  </si>
  <si>
    <t>Valoración Cualitativa</t>
  </si>
  <si>
    <t>Enrique Buendia Lozada 2020 BUAP</t>
  </si>
  <si>
    <t>Puede usar la información de</t>
  </si>
  <si>
    <t>http://www.inprolink.com/2019/02/20/normality-test-using-microsoft-excel/</t>
  </si>
  <si>
    <t>para verificar la normalidad de la muestra, antes de crear esta tabla.</t>
  </si>
  <si>
    <t>http://www.real-statistics.com/tests-normality-and-symmetry/statistical-tests-normality-symmetry/shapiro-wilk-test/</t>
  </si>
  <si>
    <t>n=</t>
  </si>
  <si>
    <t>alfa=</t>
  </si>
  <si>
    <t>sesgo=</t>
  </si>
  <si>
    <t>s.e. =</t>
  </si>
  <si>
    <t>test stat=</t>
  </si>
  <si>
    <t>p-value=</t>
  </si>
  <si>
    <t>li=</t>
  </si>
  <si>
    <t>ls=</t>
  </si>
  <si>
    <t>TEST DE NORMALIDAD</t>
  </si>
  <si>
    <t>Para que sea verdadera la respuesta n&gt;8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</si>
</sst>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indexed="2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0" fillId="2" borderId="1" xfId="0" applyFill="1" applyBorder="1"/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5" borderId="0" xfId="0" applyFill="1"/>
    <xf numFmtId="0" fontId="2" fillId="0" borderId="0" xfId="1"/>
    <xf numFmtId="0" fontId="0" fillId="6" borderId="0" xfId="0" applyFill="1"/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104775</xdr:rowOff>
        </xdr:from>
        <xdr:to>
          <xdr:col>8</xdr:col>
          <xdr:colOff>742950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616A365-C417-4F9E-9CB8-4F65610C0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Crear la tabla de valoración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real-statistics.com/tests-normality-and-symmetry/statistical-tests-normality-symmetry/shapiro-wilk-test/" TargetMode="External"/><Relationship Id="rId1" Type="http://schemas.openxmlformats.org/officeDocument/2006/relationships/hyperlink" Target="http://www.inprolink.com/2019/02/20/normality-test-using-microsoft-excel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4E336-62A9-43A8-A6D1-318AEB9F381A}">
  <sheetPr codeName="Hoja1"/>
  <dimension ref="A1:O24"/>
  <sheetViews>
    <sheetView tabSelected="1" workbookViewId="0">
      <selection activeCell="A6" sqref="A6"/>
    </sheetView>
  </sheetViews>
  <sheetFormatPr baseColWidth="10" defaultRowHeight="15" x14ac:dyDescent="0.25"/>
  <cols>
    <col min="1" max="1" width="11.42578125" style="1"/>
    <col min="12" max="12" width="11.85546875" bestFit="1" customWidth="1"/>
  </cols>
  <sheetData>
    <row r="1" spans="1:15" x14ac:dyDescent="0.25">
      <c r="A1" s="1">
        <v>1</v>
      </c>
      <c r="C1" s="2" t="s">
        <v>0</v>
      </c>
      <c r="D1" s="2"/>
      <c r="E1" s="2"/>
      <c r="F1" s="2"/>
      <c r="G1" s="2"/>
      <c r="H1" s="2"/>
      <c r="I1" s="2"/>
      <c r="K1" t="s">
        <v>10</v>
      </c>
    </row>
    <row r="2" spans="1:15" x14ac:dyDescent="0.25">
      <c r="A2" s="1">
        <v>2</v>
      </c>
      <c r="C2" s="2"/>
      <c r="D2" s="2"/>
      <c r="E2" s="2"/>
      <c r="F2" s="2"/>
      <c r="G2" s="2"/>
      <c r="H2" s="2"/>
      <c r="I2" s="2"/>
      <c r="K2" s="7" t="s">
        <v>11</v>
      </c>
    </row>
    <row r="3" spans="1:15" x14ac:dyDescent="0.25">
      <c r="A3" s="1">
        <v>3</v>
      </c>
      <c r="C3" s="3" t="s">
        <v>1</v>
      </c>
      <c r="D3" s="3"/>
      <c r="E3" s="3"/>
      <c r="F3" s="3"/>
      <c r="G3" s="3"/>
      <c r="H3" s="3"/>
      <c r="I3" s="3"/>
      <c r="K3" s="7" t="s">
        <v>13</v>
      </c>
    </row>
    <row r="4" spans="1:15" x14ac:dyDescent="0.25">
      <c r="A4" s="1">
        <v>1</v>
      </c>
      <c r="C4" s="3"/>
      <c r="D4" s="3"/>
      <c r="E4" s="3"/>
      <c r="F4" s="3"/>
      <c r="G4" s="3"/>
      <c r="H4" s="3"/>
      <c r="I4" s="3"/>
      <c r="K4" t="s">
        <v>12</v>
      </c>
    </row>
    <row r="5" spans="1:15" x14ac:dyDescent="0.25">
      <c r="A5" s="1">
        <v>4</v>
      </c>
      <c r="K5" s="8" t="s">
        <v>14</v>
      </c>
      <c r="L5" s="8">
        <f>COUNT(A1:A1000)</f>
        <v>5</v>
      </c>
      <c r="M5" s="9" t="s">
        <v>22</v>
      </c>
      <c r="N5" s="9"/>
      <c r="O5" s="9"/>
    </row>
    <row r="6" spans="1:15" x14ac:dyDescent="0.25">
      <c r="K6" s="8" t="s">
        <v>15</v>
      </c>
      <c r="L6" s="8">
        <v>0.05</v>
      </c>
    </row>
    <row r="7" spans="1:15" x14ac:dyDescent="0.25">
      <c r="K7" s="8" t="s">
        <v>16</v>
      </c>
      <c r="L7" s="8">
        <f>SKEW(A1:A1000)</f>
        <v>0.54138705095108453</v>
      </c>
    </row>
    <row r="8" spans="1:15" x14ac:dyDescent="0.25">
      <c r="K8" s="8" t="s">
        <v>17</v>
      </c>
      <c r="L8" s="8">
        <f>SQRT(6*L5*(L5-1)/((L5-2)*(L5+1)*(L5+3)))</f>
        <v>0.9128709291752769</v>
      </c>
      <c r="M8" t="s">
        <v>23</v>
      </c>
    </row>
    <row r="9" spans="1:15" x14ac:dyDescent="0.25">
      <c r="C9" s="4" t="s">
        <v>9</v>
      </c>
      <c r="D9" s="4"/>
      <c r="E9" s="4"/>
      <c r="F9" s="4"/>
      <c r="G9" s="4"/>
      <c r="H9" s="4"/>
      <c r="I9" s="4"/>
      <c r="K9" s="8" t="s">
        <v>18</v>
      </c>
      <c r="L9" s="8">
        <f>L7/L8</f>
        <v>0.59305980029421534</v>
      </c>
    </row>
    <row r="10" spans="1:15" x14ac:dyDescent="0.25">
      <c r="C10">
        <v>2.2000000000000002</v>
      </c>
      <c r="D10" s="5" t="s">
        <v>3</v>
      </c>
      <c r="K10" s="8" t="s">
        <v>19</v>
      </c>
      <c r="L10" s="8">
        <f>1-_xlfn.NORM.S.DIST(ABS(L9),TRUE)</f>
        <v>0.27657056617430931</v>
      </c>
      <c r="M10" s="10" t="str">
        <f>IF(AND(L11 &lt;= 0,   L12 &gt;=  0),"La muestra es NORMAL","No es normal")</f>
        <v>La muestra es NORMAL</v>
      </c>
      <c r="N10" s="10"/>
      <c r="O10" s="10"/>
    </row>
    <row r="11" spans="1:15" x14ac:dyDescent="0.25">
      <c r="C11">
        <v>1.3038404810405297</v>
      </c>
      <c r="D11" s="5" t="s">
        <v>2</v>
      </c>
      <c r="K11" s="8" t="s">
        <v>20</v>
      </c>
      <c r="L11" s="8">
        <f>L7-L8*_xlfn.NORM.S.INV(1-L6/2)</f>
        <v>-1.2478070927660723</v>
      </c>
      <c r="M11" s="10"/>
      <c r="N11" s="10"/>
      <c r="O11" s="10"/>
    </row>
    <row r="12" spans="1:15" x14ac:dyDescent="0.25">
      <c r="K12" s="8" t="s">
        <v>21</v>
      </c>
      <c r="L12" s="8">
        <f>L7+L8*_xlfn.NORM.S.INV(1-L6/2)</f>
        <v>2.3305811946682411</v>
      </c>
    </row>
    <row r="16" spans="1:15" x14ac:dyDescent="0.25">
      <c r="C16" s="5" t="s">
        <v>6</v>
      </c>
      <c r="D16" s="5"/>
      <c r="E16" s="6" t="s">
        <v>7</v>
      </c>
      <c r="G16" t="s">
        <v>8</v>
      </c>
    </row>
    <row r="17" spans="3:5" x14ac:dyDescent="0.25">
      <c r="C17" s="5">
        <v>6.111521443121589</v>
      </c>
      <c r="D17" s="5" t="s">
        <v>4</v>
      </c>
      <c r="E17" s="6">
        <v>0</v>
      </c>
    </row>
    <row r="18" spans="3:5" x14ac:dyDescent="0.25">
      <c r="C18" s="5">
        <v>4.8076809620810597</v>
      </c>
      <c r="D18" s="5">
        <v>6.111521443121589</v>
      </c>
      <c r="E18" s="6">
        <v>0</v>
      </c>
    </row>
    <row r="19" spans="3:5" x14ac:dyDescent="0.25">
      <c r="C19" s="5">
        <v>3.5038404810405299</v>
      </c>
      <c r="D19" s="5">
        <v>4.8076809620810597</v>
      </c>
      <c r="E19" s="6">
        <v>1</v>
      </c>
    </row>
    <row r="20" spans="3:5" x14ac:dyDescent="0.25">
      <c r="C20" s="5">
        <v>2.2000000000000002</v>
      </c>
      <c r="D20" s="5">
        <v>3.5038404810405299</v>
      </c>
      <c r="E20" s="6">
        <v>1</v>
      </c>
    </row>
    <row r="21" spans="3:5" x14ac:dyDescent="0.25">
      <c r="C21" s="5">
        <v>0.89615951895947044</v>
      </c>
      <c r="D21" s="5">
        <v>2.2000000000000002</v>
      </c>
      <c r="E21" s="6">
        <v>3</v>
      </c>
    </row>
    <row r="22" spans="3:5" x14ac:dyDescent="0.25">
      <c r="C22" s="5">
        <v>-0.40768096208105931</v>
      </c>
      <c r="D22" s="5">
        <v>0.89615951895947044</v>
      </c>
      <c r="E22" s="6">
        <v>0</v>
      </c>
    </row>
    <row r="23" spans="3:5" x14ac:dyDescent="0.25">
      <c r="C23" s="5">
        <v>-1.711521443121589</v>
      </c>
      <c r="D23" s="5">
        <v>-0.40768096208105931</v>
      </c>
      <c r="E23" s="6">
        <v>0</v>
      </c>
    </row>
    <row r="24" spans="3:5" x14ac:dyDescent="0.25">
      <c r="C24" s="5" t="s">
        <v>5</v>
      </c>
      <c r="D24" s="5">
        <v>-1.711521443121589</v>
      </c>
      <c r="E24" s="6">
        <v>0</v>
      </c>
    </row>
  </sheetData>
  <mergeCells count="5">
    <mergeCell ref="C1:I2"/>
    <mergeCell ref="C3:I4"/>
    <mergeCell ref="C9:I9"/>
    <mergeCell ref="M5:O5"/>
    <mergeCell ref="M10:O11"/>
  </mergeCells>
  <hyperlinks>
    <hyperlink ref="K2" r:id="rId1" xr:uid="{A1055B56-B0A2-49DA-965E-DFFB12808C42}"/>
    <hyperlink ref="K3" r:id="rId2" xr:uid="{FC0122EF-DE7D-4BD1-A45D-6E00ABDAB251}"/>
  </hyperlinks>
  <pageMargins left="0.7" right="0.7" top="0.75" bottom="0.75" header="0.3" footer="0.3"/>
  <pageSetup paperSize="9" orientation="portrait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Botón2_Haga_clic_en">
                <anchor moveWithCells="1" sizeWithCells="1">
                  <from>
                    <xdr:col>2</xdr:col>
                    <xdr:colOff>9525</xdr:colOff>
                    <xdr:row>4</xdr:row>
                    <xdr:rowOff>104775</xdr:rowOff>
                  </from>
                  <to>
                    <xdr:col>8</xdr:col>
                    <xdr:colOff>742950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E96C0-B9F3-4F38-A35B-9348997A6D65}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enrique buendia</dc:creator>
  <cp:lastModifiedBy>enrique buendia</cp:lastModifiedBy>
  <dcterms:created xsi:type="dcterms:W3CDTF">2020-06-05T19:55:58Z</dcterms:created>
  <dcterms:modified xsi:type="dcterms:W3CDTF">2020-06-06T00:08:19Z</dcterms:modified>
</cp:coreProperties>
</file>